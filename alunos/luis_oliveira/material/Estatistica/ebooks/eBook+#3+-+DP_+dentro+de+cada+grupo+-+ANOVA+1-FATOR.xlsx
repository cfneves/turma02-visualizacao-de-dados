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filterPrivacy="1" defaultThemeVersion="166925"/>
  <xr:revisionPtr revIDLastSave="0" documentId="13_ncr:1_{93B54250-AD08-47E8-B2BB-5CA06862BFCB}" xr6:coauthVersionLast="47" xr6:coauthVersionMax="47" xr10:uidLastSave="{00000000-0000-0000-0000-000000000000}"/>
  <bookViews>
    <workbookView xWindow="-120" yWindow="-120" windowWidth="37635" windowHeight="16440" xr2:uid="{48893944-438C-4C6C-94C9-6F84619D97E3}"/>
  </bookViews>
  <sheets>
    <sheet name="ANOVA 1 VIA - DP dentro grupo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5" i="1" l="1"/>
  <c r="B13" i="1"/>
  <c r="B12" i="1"/>
  <c r="B11" i="1"/>
  <c r="B10" i="1"/>
  <c r="B9" i="1"/>
  <c r="B8" i="1"/>
  <c r="B7" i="1"/>
  <c r="B6" i="1"/>
  <c r="B5" i="1"/>
</calcChain>
</file>

<file path=xl/sharedStrings.xml><?xml version="1.0" encoding="utf-8"?>
<sst xmlns="http://schemas.openxmlformats.org/spreadsheetml/2006/main" count="11" uniqueCount="11">
  <si>
    <t xml:space="preserve">Número de grupos = </t>
  </si>
  <si>
    <t>GRUPO</t>
  </si>
  <si>
    <t>Instruções:</t>
  </si>
  <si>
    <t>1. digite o número de grupos no campo apropriado</t>
  </si>
  <si>
    <t>3. digite o número amostral (n) de cada grupo no campo apropriado</t>
  </si>
  <si>
    <t>2. digite o desvio padrão (DP) de cada grupo no campo apropriado</t>
  </si>
  <si>
    <t>DP</t>
  </si>
  <si>
    <t>n</t>
  </si>
  <si>
    <t xml:space="preserve">SD σ within each group = </t>
  </si>
  <si>
    <t>4. será calculado o desvio padrão (DP) dentro dos grupos</t>
  </si>
  <si>
    <t>(DP σ dentro de cada grupo)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</si>
</sst>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0" xfId="0" applyFont="1" applyFill="1"/>
    <xf numFmtId="0" fontId="0" fillId="2" borderId="0" xfId="0" applyFill="1"/>
    <xf numFmtId="0" fontId="1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0" fillId="4" borderId="3" xfId="0" applyFill="1" applyBorder="1"/>
    <xf numFmtId="0" fontId="0" fillId="4" borderId="4" xfId="0" applyFill="1" applyBorder="1"/>
    <xf numFmtId="0" fontId="1" fillId="3" borderId="2" xfId="0" applyFont="1" applyFill="1" applyBorder="1"/>
    <xf numFmtId="0" fontId="0" fillId="2" borderId="1" xfId="0" applyFill="1" applyBorder="1" applyAlignment="1">
      <alignment horizontal="center"/>
    </xf>
    <xf numFmtId="0" fontId="1" fillId="3" borderId="5" xfId="0" applyFont="1" applyFill="1" applyBorder="1" applyAlignment="1">
      <alignment horizontal="right"/>
    </xf>
    <xf numFmtId="164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2" fontId="3" fillId="5" borderId="2" xfId="0" applyNumberFormat="1" applyFont="1" applyFill="1" applyBorder="1" applyAlignment="1">
      <alignment horizontal="center" vertical="center"/>
    </xf>
    <xf numFmtId="2" fontId="3" fillId="5" borderId="4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6CC09-C12A-4835-AC67-6775E0FB6229}">
  <dimension ref="B2:F16"/>
  <sheetViews>
    <sheetView tabSelected="1" zoomScale="150" zoomScaleNormal="150" workbookViewId="0">
      <selection activeCell="C2" sqref="C2"/>
    </sheetView>
  </sheetViews>
  <sheetFormatPr defaultColWidth="8.85546875" defaultRowHeight="15" x14ac:dyDescent="0.25"/>
  <cols>
    <col min="1" max="1" width="3.42578125" style="2" customWidth="1"/>
    <col min="2" max="2" width="26.140625" style="1" bestFit="1" customWidth="1"/>
    <col min="3" max="4" width="22.5703125" style="2" customWidth="1"/>
    <col min="5" max="5" width="8.85546875" style="2"/>
    <col min="6" max="6" width="61.85546875" style="2" bestFit="1" customWidth="1"/>
    <col min="7" max="16384" width="8.85546875" style="2"/>
  </cols>
  <sheetData>
    <row r="2" spans="2:6" x14ac:dyDescent="0.25">
      <c r="B2" s="9" t="s">
        <v>0</v>
      </c>
      <c r="C2" s="8">
        <v>3</v>
      </c>
    </row>
    <row r="4" spans="2:6" x14ac:dyDescent="0.25">
      <c r="B4" s="3" t="s">
        <v>1</v>
      </c>
      <c r="C4" s="3" t="s">
        <v>6</v>
      </c>
      <c r="D4" s="3" t="s">
        <v>7</v>
      </c>
      <c r="F4" s="7" t="s">
        <v>2</v>
      </c>
    </row>
    <row r="5" spans="2:6" x14ac:dyDescent="0.25">
      <c r="B5" s="4" t="str">
        <f>IF($C$2&gt;0,"Grupo 1","")</f>
        <v>Grupo 1</v>
      </c>
      <c r="C5" s="13">
        <v>1.4956492430302424</v>
      </c>
      <c r="D5" s="11">
        <v>4</v>
      </c>
      <c r="F5" s="5" t="s">
        <v>3</v>
      </c>
    </row>
    <row r="6" spans="2:6" x14ac:dyDescent="0.25">
      <c r="B6" s="4" t="str">
        <f>IF($C$2&gt;1,"Grupo 2","")</f>
        <v>Grupo 2</v>
      </c>
      <c r="C6" s="13">
        <v>1.7</v>
      </c>
      <c r="D6" s="11">
        <v>4</v>
      </c>
      <c r="F6" s="5" t="s">
        <v>5</v>
      </c>
    </row>
    <row r="7" spans="2:6" x14ac:dyDescent="0.25">
      <c r="B7" s="4" t="str">
        <f>IF($C$2&gt;2,"Grupo 3","")</f>
        <v>Grupo 3</v>
      </c>
      <c r="C7" s="13">
        <v>1.65</v>
      </c>
      <c r="D7" s="11">
        <v>4</v>
      </c>
      <c r="F7" s="5" t="s">
        <v>4</v>
      </c>
    </row>
    <row r="8" spans="2:6" x14ac:dyDescent="0.25">
      <c r="B8" s="4" t="str">
        <f>IF($C$2&gt;3,"Grupo 4","")</f>
        <v/>
      </c>
      <c r="C8" s="10"/>
      <c r="D8" s="11"/>
      <c r="F8" s="6" t="s">
        <v>9</v>
      </c>
    </row>
    <row r="9" spans="2:6" x14ac:dyDescent="0.25">
      <c r="B9" s="4" t="str">
        <f>IF($C$2&gt;4,"Grupo 5","")</f>
        <v/>
      </c>
      <c r="C9" s="10"/>
      <c r="D9" s="11"/>
    </row>
    <row r="10" spans="2:6" x14ac:dyDescent="0.25">
      <c r="B10" s="4" t="str">
        <f>IF($C$2&gt;5,"Grupo 6","")</f>
        <v/>
      </c>
      <c r="C10" s="10"/>
      <c r="D10" s="11"/>
    </row>
    <row r="11" spans="2:6" x14ac:dyDescent="0.25">
      <c r="B11" s="4" t="str">
        <f>IF($C$2&gt;6,"Grupo 7","")</f>
        <v/>
      </c>
      <c r="C11" s="10"/>
      <c r="D11" s="11"/>
    </row>
    <row r="12" spans="2:6" x14ac:dyDescent="0.25">
      <c r="B12" s="4" t="str">
        <f>IF($C$2&gt;7,"Grupo 8","")</f>
        <v/>
      </c>
      <c r="C12" s="10"/>
      <c r="D12" s="11"/>
    </row>
    <row r="13" spans="2:6" x14ac:dyDescent="0.25">
      <c r="B13" s="4" t="str">
        <f>IF($C$2&gt;8,"Grupo 9","")</f>
        <v/>
      </c>
      <c r="C13" s="10"/>
      <c r="D13" s="11"/>
    </row>
    <row r="14" spans="2:6" x14ac:dyDescent="0.25">
      <c r="C14" s="12"/>
      <c r="D14" s="12"/>
    </row>
    <row r="15" spans="2:6" x14ac:dyDescent="0.25">
      <c r="B15" s="14" t="s">
        <v>8</v>
      </c>
      <c r="C15" s="15">
        <f>IF(AND(C2=COUNT(C5:C13),C2=COUNT(D5:D13)),
IF(C2=9,
SQRT(((D5-1)*(C5^2)+(D6-1)*(C6^2)+(D7-1)*(C7^2)+(D8-1)*(C8^2)+(D9-1)*(C9^2)+(D10-1)*(C10^2)+(D11-1)*(C11^2)+(D12-1)*(C12^2)+(D13-1)*(C13^2))/((D5-1)+(D6-1)+(D7-1)+(D8-1)+(D9-1)+(D10-1)+(D11-1)+(D12-1)+(D13-1))),
IF(C2=8,
SQRT(((D5-1)*(C5^2)+(D6-1)*(C6^2)+(D7-1)*(C7^2)+(D8-1)*(C8^2)+(D9-1)*(C9^2)+(D10-1)*(C10^2)+(D11-1)*(C11^2)+(D12-1)*(C12^2))/((D5-1)+(D6-1)+(D7-1)+(D8-1)+(D9-1)+(D10-1)+(D11-1)+(D12-1))),
IF(C2=7,
SQRT(((D5-1)*(C5^2)+(D6-1)*(C6^2)+(D7-1)*(C7^2)+(D8-1)*(C8^2)+(D9-1)*(C9^2)+(D10-1)*(C10^2)+(D11-1)*(C11^2))/((D5-1)+(D6-1)+(D7-1)+(D8-1)+(D9-1)+(D10-1)+(D11-1))),
IF(C2=6,
SQRT(((D5-1)*(C5^2)+(D6-1)*(C6^2)+(D7-1)*(C7^2)+(D8-1)*(C8^2)+(D9-1)*(C9^2)+(D10-1)*(C10^2))/((D5-1)+(D6-1)+(D7-1)+(D8-1)+(D9-1)+(D10-1))),
IF(C2=5,
SQRT(((D5-1)*(C5^2)+(D6-1)*(C6^2)+(D7-1)*(C7^2)+(D8-1)*(C8^2)+(D9-1)*(C9^2))/((D5-1)+(D6-1)+(D7-1)+(D8-1)+(D9-1))),
IF(C2=4,
SQRT(((D5-1)*(C5^2)+(D6-1)*(C6^2)+(D7-1)*(C7^2)+(D8-1)*(C8^2))/((D5-1)+(D6-1)+(D7-1)+(D8-1))),
IF(C2=3,
SQRT(((D5-1)*(C5^2)+(D6-1)*(C6^2)+(D7-1)*(C7^2))/((D5-1)+(D6-1)+(D7-1))),
"FALTANDO ALGO"))))))),"FALTANDO ALGO")</f>
        <v>1.6175564552926673</v>
      </c>
      <c r="D15" s="12"/>
    </row>
    <row r="16" spans="2:6" x14ac:dyDescent="0.25">
      <c r="B16" s="14" t="s">
        <v>10</v>
      </c>
      <c r="C16" s="16"/>
    </row>
  </sheetData>
  <mergeCells count="1">
    <mergeCell ref="C15:C16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ANOVA 1 VIA - DP dentro grupos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2021-04-19T16:46:36Z</dcterms:created>
  <dcterms:modified xsi:type="dcterms:W3CDTF">2025-04-01T18:35:03Z</dcterms:modified>
</cp:coreProperties>
</file>