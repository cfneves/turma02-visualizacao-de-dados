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3C0B63AD-39CC-45CB-98A0-287336F15AED}" xr6:coauthVersionLast="47" xr6:coauthVersionMax="47" xr10:uidLastSave="{00000000-0000-0000-0000-000000000000}"/>
  <bookViews>
    <workbookView xWindow="-120" yWindow="-120" windowWidth="37635" windowHeight="16440" xr2:uid="{87743EAD-6EF2-447D-A932-3A4C6AA5A00C}"/>
  </bookViews>
  <sheets>
    <sheet name="REG. LOG S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4" l="1"/>
  <c r="E10" i="4"/>
  <c r="E14" i="4"/>
  <c r="E13" i="4"/>
  <c r="E12" i="4" l="1"/>
</calcChain>
</file>

<file path=xl/sharedStrings.xml><?xml version="1.0" encoding="utf-8"?>
<sst xmlns="http://schemas.openxmlformats.org/spreadsheetml/2006/main" count="17" uniqueCount="17">
  <si>
    <t xml:space="preserve">INTERCEPT = </t>
  </si>
  <si>
    <t xml:space="preserve">Pr(Y=1|X=1) H0 = </t>
  </si>
  <si>
    <t xml:space="preserve">Var. Indep. (X) = </t>
  </si>
  <si>
    <t xml:space="preserve">X parm μ = </t>
  </si>
  <si>
    <t xml:space="preserve">X parm σ = </t>
  </si>
  <si>
    <t xml:space="preserve">Pr(Y=1|X=1) H1 = </t>
  </si>
  <si>
    <t>Odds ratio</t>
  </si>
  <si>
    <t>(X)</t>
  </si>
  <si>
    <t>(y)</t>
  </si>
  <si>
    <t>1. DADOS DO ESTUDO PILOTO</t>
  </si>
  <si>
    <t>2. DADOS DA ANÁLISE PRELIMINAR</t>
  </si>
  <si>
    <t xml:space="preserve">3. USAR NO G*POWER </t>
  </si>
  <si>
    <t>INSTRUÇÕES:</t>
  </si>
  <si>
    <t>1. Colar os dados do estudo piloto, referentes à var. independente (X) e a var. dependente (y).</t>
  </si>
  <si>
    <t>2. Fazer análise de regressão logística no jamovi com dados piloto, e copiar os valores de Estimate do Intercept e da variável X, conforme exemplificado abaixo.</t>
  </si>
  <si>
    <t>3. Estes são os valores que deverá utilizar no G*Power.</t>
  </si>
  <si>
    <t>EXEMPLO DE RESULTADO OBTIDO EM ANÁLISE PRELIMINAR NO JAMOVI UTILIZANDO OS DADOS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</si>
</sst>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E+00"/>
    <numFmt numFmtId="166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1" fontId="0" fillId="3" borderId="3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7" xfId="0" applyFont="1" applyFill="1" applyBorder="1"/>
    <xf numFmtId="0" fontId="1" fillId="2" borderId="0" xfId="0" applyFont="1" applyFill="1"/>
    <xf numFmtId="165" fontId="0" fillId="3" borderId="0" xfId="0" applyNumberFormat="1" applyFill="1"/>
    <xf numFmtId="164" fontId="0" fillId="3" borderId="0" xfId="0" applyNumberFormat="1" applyFill="1"/>
    <xf numFmtId="166" fontId="0" fillId="3" borderId="0" xfId="0" applyNumberFormat="1" applyFill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0" fillId="4" borderId="8" xfId="0" applyFill="1" applyBorder="1"/>
    <xf numFmtId="0" fontId="0" fillId="4" borderId="9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12701</xdr:colOff>
      <xdr:row>8</xdr:row>
      <xdr:rowOff>57150</xdr:rowOff>
    </xdr:from>
    <xdr:to>
      <xdr:col>7</xdr:col>
      <xdr:colOff>4084963</xdr:colOff>
      <xdr:row>22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694062-68F5-053D-038D-05A5D770C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1" y="1581150"/>
          <a:ext cx="4072262" cy="26479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7</xdr:col>
      <xdr:colOff>812800</xdr:colOff>
      <xdr:row>18</xdr:row>
      <xdr:rowOff>0</xdr:rowOff>
    </xdr:from>
    <xdr:to>
      <xdr:col>7</xdr:col>
      <xdr:colOff>1263650</xdr:colOff>
      <xdr:row>20</xdr:row>
      <xdr:rowOff>6350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2BCDE86-3892-4375-B22B-CE498C63F982}"/>
            </a:ext>
          </a:extLst>
        </xdr:cNvPr>
        <xdr:cNvSpPr/>
      </xdr:nvSpPr>
      <xdr:spPr>
        <a:xfrm>
          <a:off x="6934200" y="3429000"/>
          <a:ext cx="450850" cy="387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25400</xdr:colOff>
      <xdr:row>4</xdr:row>
      <xdr:rowOff>50800</xdr:rowOff>
    </xdr:from>
    <xdr:to>
      <xdr:col>7</xdr:col>
      <xdr:colOff>762000</xdr:colOff>
      <xdr:row>17</xdr:row>
      <xdr:rowOff>133350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71E291B0-4DA6-4191-9F14-EE89629AB1D2}"/>
            </a:ext>
          </a:extLst>
        </xdr:cNvPr>
        <xdr:cNvCxnSpPr/>
      </xdr:nvCxnSpPr>
      <xdr:spPr>
        <a:xfrm flipH="1" flipV="1">
          <a:off x="4927600" y="812800"/>
          <a:ext cx="1955800" cy="25590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F0AD-2B9C-4D7F-AB7F-5A414C7F1711}">
  <dimension ref="A1:H102"/>
  <sheetViews>
    <sheetView tabSelected="1" zoomScale="150" zoomScaleNormal="150" workbookViewId="0">
      <selection sqref="A1:B1"/>
    </sheetView>
  </sheetViews>
  <sheetFormatPr defaultRowHeight="15" x14ac:dyDescent="0.25"/>
  <cols>
    <col min="1" max="1" width="15" style="4" customWidth="1"/>
    <col min="2" max="2" width="15" style="5" customWidth="1"/>
    <col min="3" max="3" width="9.140625" style="1"/>
    <col min="4" max="5" width="17.140625" style="1" customWidth="1"/>
    <col min="6" max="7" width="9.140625" style="1"/>
    <col min="8" max="8" width="138.7109375" style="1" customWidth="1"/>
    <col min="9" max="16384" width="9.140625" style="1"/>
  </cols>
  <sheetData>
    <row r="1" spans="1:8" x14ac:dyDescent="0.25">
      <c r="A1" s="23" t="s">
        <v>9</v>
      </c>
      <c r="B1" s="24"/>
      <c r="D1" s="23" t="s">
        <v>10</v>
      </c>
      <c r="E1" s="24"/>
    </row>
    <row r="2" spans="1:8" x14ac:dyDescent="0.25">
      <c r="A2" s="15" t="s">
        <v>7</v>
      </c>
      <c r="B2" s="16" t="s">
        <v>8</v>
      </c>
      <c r="D2" s="25"/>
      <c r="E2" s="26"/>
      <c r="H2" s="10" t="s">
        <v>12</v>
      </c>
    </row>
    <row r="3" spans="1:8" x14ac:dyDescent="0.25">
      <c r="A3" s="2">
        <v>40</v>
      </c>
      <c r="B3" s="3">
        <v>1</v>
      </c>
      <c r="D3" s="19" t="s">
        <v>0</v>
      </c>
      <c r="E3" s="6">
        <v>-9.952</v>
      </c>
      <c r="H3" s="21" t="s">
        <v>13</v>
      </c>
    </row>
    <row r="4" spans="1:8" x14ac:dyDescent="0.25">
      <c r="A4" s="2">
        <v>36.957195085735997</v>
      </c>
      <c r="B4" s="3">
        <v>1</v>
      </c>
      <c r="D4" s="20" t="s">
        <v>2</v>
      </c>
      <c r="E4" s="7">
        <v>0.312</v>
      </c>
      <c r="H4" s="21" t="s">
        <v>14</v>
      </c>
    </row>
    <row r="5" spans="1:8" x14ac:dyDescent="0.25">
      <c r="A5" s="2">
        <v>36.948764668565232</v>
      </c>
      <c r="B5" s="3">
        <v>0</v>
      </c>
      <c r="H5" s="22" t="s">
        <v>15</v>
      </c>
    </row>
    <row r="6" spans="1:8" x14ac:dyDescent="0.25">
      <c r="A6" s="2">
        <v>12.797831503858855</v>
      </c>
      <c r="B6" s="3">
        <v>0</v>
      </c>
    </row>
    <row r="7" spans="1:8" x14ac:dyDescent="0.25">
      <c r="A7" s="2">
        <v>34.696300381440587</v>
      </c>
      <c r="B7" s="3">
        <v>1</v>
      </c>
      <c r="H7" s="14"/>
    </row>
    <row r="8" spans="1:8" x14ac:dyDescent="0.25">
      <c r="A8" s="2">
        <v>25.377591696758017</v>
      </c>
      <c r="B8" s="3">
        <v>0</v>
      </c>
      <c r="H8" s="11" t="s">
        <v>16</v>
      </c>
    </row>
    <row r="9" spans="1:8" x14ac:dyDescent="0.25">
      <c r="A9" s="2">
        <v>25.151146488210813</v>
      </c>
      <c r="B9" s="3">
        <v>0</v>
      </c>
      <c r="D9" s="27" t="s">
        <v>11</v>
      </c>
      <c r="E9" s="28"/>
    </row>
    <row r="10" spans="1:8" x14ac:dyDescent="0.25">
      <c r="A10" s="2">
        <v>43.171341618168746</v>
      </c>
      <c r="B10" s="3">
        <v>1</v>
      </c>
      <c r="D10" s="8" t="s">
        <v>1</v>
      </c>
      <c r="E10" s="17">
        <f>EXP(E3)/(1+EXP(E3))</f>
        <v>4.7630005335123534E-5</v>
      </c>
    </row>
    <row r="11" spans="1:8" x14ac:dyDescent="0.25">
      <c r="A11" s="2">
        <v>32.073984013136915</v>
      </c>
      <c r="B11" s="3">
        <v>1</v>
      </c>
      <c r="D11" s="8" t="s">
        <v>5</v>
      </c>
      <c r="E11" s="17">
        <f>EXP(E3+E4)/(1+EXP(E3+E4))</f>
        <v>6.5068820520622849E-5</v>
      </c>
    </row>
    <row r="12" spans="1:8" x14ac:dyDescent="0.25">
      <c r="A12" s="2">
        <v>12.215748847242491</v>
      </c>
      <c r="B12" s="3">
        <v>0</v>
      </c>
      <c r="D12" s="8" t="s">
        <v>6</v>
      </c>
      <c r="E12" s="17">
        <f>(E11/(1-E11))/(E10/(1-E10))</f>
        <v>1.3661546930294792</v>
      </c>
    </row>
    <row r="13" spans="1:8" x14ac:dyDescent="0.25">
      <c r="A13" s="2"/>
      <c r="B13" s="3"/>
      <c r="D13" s="8" t="s">
        <v>3</v>
      </c>
      <c r="E13" s="17">
        <f>AVERAGE(A:A)</f>
        <v>29.938990430311765</v>
      </c>
    </row>
    <row r="14" spans="1:8" x14ac:dyDescent="0.25">
      <c r="A14" s="2"/>
      <c r="B14" s="3"/>
      <c r="D14" s="9" t="s">
        <v>4</v>
      </c>
      <c r="E14" s="18">
        <f>_xlfn.STDEV.S(A:A)</f>
        <v>10.819549118356612</v>
      </c>
    </row>
    <row r="15" spans="1:8" x14ac:dyDescent="0.25">
      <c r="A15" s="2"/>
      <c r="B15" s="3"/>
    </row>
    <row r="16" spans="1:8" x14ac:dyDescent="0.25">
      <c r="A16" s="2"/>
      <c r="B16" s="3"/>
      <c r="E16" s="13"/>
    </row>
    <row r="17" spans="1:4" x14ac:dyDescent="0.25">
      <c r="A17" s="2"/>
      <c r="B17" s="3"/>
    </row>
    <row r="18" spans="1:4" x14ac:dyDescent="0.25">
      <c r="A18" s="2"/>
      <c r="B18" s="3"/>
    </row>
    <row r="19" spans="1:4" x14ac:dyDescent="0.25">
      <c r="A19" s="2"/>
      <c r="B19" s="3"/>
      <c r="D19" s="12"/>
    </row>
    <row r="20" spans="1:4" x14ac:dyDescent="0.25">
      <c r="A20" s="2"/>
      <c r="B20" s="3"/>
    </row>
    <row r="21" spans="1:4" x14ac:dyDescent="0.25">
      <c r="A21" s="2"/>
      <c r="B21" s="3"/>
    </row>
    <row r="22" spans="1:4" x14ac:dyDescent="0.25">
      <c r="A22" s="2"/>
      <c r="B22" s="3"/>
    </row>
    <row r="23" spans="1:4" x14ac:dyDescent="0.25">
      <c r="A23" s="2"/>
      <c r="B23" s="3"/>
    </row>
    <row r="24" spans="1:4" x14ac:dyDescent="0.25">
      <c r="A24" s="2"/>
      <c r="B24" s="3"/>
    </row>
    <row r="25" spans="1:4" x14ac:dyDescent="0.25">
      <c r="A25" s="2"/>
      <c r="B25" s="3"/>
    </row>
    <row r="26" spans="1:4" x14ac:dyDescent="0.25">
      <c r="A26" s="2"/>
      <c r="B26" s="3"/>
    </row>
    <row r="27" spans="1:4" x14ac:dyDescent="0.25">
      <c r="A27" s="2"/>
      <c r="B27" s="3"/>
    </row>
    <row r="28" spans="1:4" x14ac:dyDescent="0.25">
      <c r="A28" s="2"/>
      <c r="B28" s="3"/>
    </row>
    <row r="29" spans="1:4" x14ac:dyDescent="0.25">
      <c r="A29" s="2"/>
      <c r="B29" s="3"/>
    </row>
    <row r="30" spans="1:4" x14ac:dyDescent="0.25">
      <c r="A30" s="2"/>
      <c r="B30" s="3"/>
    </row>
    <row r="31" spans="1:4" x14ac:dyDescent="0.25">
      <c r="A31" s="2"/>
      <c r="B31" s="3"/>
    </row>
    <row r="32" spans="1:4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</sheetData>
  <mergeCells count="3">
    <mergeCell ref="A1:B1"/>
    <mergeCell ref="D1:E2"/>
    <mergeCell ref="D9:E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REG. LOG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2021-04-26T15:00:35Z</dcterms:created>
  <dcterms:modified xsi:type="dcterms:W3CDTF">2025-04-01T18:35:17Z</dcterms:modified>
</cp:coreProperties>
</file>